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Q2 Financing Sources" sheetId="2" state="visible" r:id="rId4"/>
    <sheet name="Q3 Cost of Debt" sheetId="3" state="visible" r:id="rId5"/>
    <sheet name="Q4 Cost of Equity" sheetId="4" state="visible" r:id="rId6"/>
    <sheet name="Q5 Capital Structure" sheetId="5" state="visible" r:id="rId7"/>
    <sheet name="Q6-Q7 WACC &amp; MAR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<sst xmlns="http://schemas.openxmlformats.org/spreadsheetml/2006/main" count="155" uniqueCount="119">
  <si>
    <t xml:space="preserve">Estimating Walmart's cost of capital: summary of results</t>
  </si>
  <si>
    <t xml:space="preserve">Prepared by Paolo Safady, October 21, 2026. Figures in $ millions unless noted.</t>
  </si>
  <si>
    <t xml:space="preserve">Measure</t>
  </si>
  <si>
    <t xml:space="preserve">Value</t>
  </si>
  <si>
    <t xml:space="preserve">Question</t>
  </si>
  <si>
    <t xml:space="preserve">Sheet</t>
  </si>
  <si>
    <t xml:space="preserve">Total debt (total liabilities), $M</t>
  </si>
  <si>
    <t xml:space="preserve">Q2</t>
  </si>
  <si>
    <t xml:space="preserve">Q2 Financing Sources</t>
  </si>
  <si>
    <t xml:space="preserve">Total equity, $M</t>
  </si>
  <si>
    <t xml:space="preserve">Total financing, $M</t>
  </si>
  <si>
    <t xml:space="preserve">Pre-tax cost of long-term debt</t>
  </si>
  <si>
    <t xml:space="preserve">Q3</t>
  </si>
  <si>
    <t xml:space="preserve">Q3 Cost of Debt</t>
  </si>
  <si>
    <t xml:space="preserve">Cost of equity (CAPM)</t>
  </si>
  <si>
    <t xml:space="preserve">Q4</t>
  </si>
  <si>
    <t xml:space="preserve">Q4 Cost of Equity</t>
  </si>
  <si>
    <t xml:space="preserve">Weight of debt</t>
  </si>
  <si>
    <t xml:space="preserve">Q5</t>
  </si>
  <si>
    <t xml:space="preserve">Q5 Capital Structure</t>
  </si>
  <si>
    <t xml:space="preserve">Weight of equity</t>
  </si>
  <si>
    <t xml:space="preserve">Debt-to-equity ratio</t>
  </si>
  <si>
    <t xml:space="preserve">Weighted average cost of capital (WACC)</t>
  </si>
  <si>
    <t xml:space="preserve">Q6</t>
  </si>
  <si>
    <t xml:space="preserve">Q6-Q7 WACC &amp; MARR</t>
  </si>
  <si>
    <t xml:space="preserve">MARR (hurdle rate)</t>
  </si>
  <si>
    <t xml:space="preserve">Q7</t>
  </si>
  <si>
    <t xml:space="preserve">Color key</t>
  </si>
  <si>
    <t xml:space="preserve">Blue text: input taken from the Walmart case study</t>
  </si>
  <si>
    <t xml:space="preserve">Black text: formula calculated on the same sheet</t>
  </si>
  <si>
    <t xml:space="preserve">Green text: value linked from another sheet</t>
  </si>
  <si>
    <t xml:space="preserve">Yellow fill: key result</t>
  </si>
  <si>
    <t xml:space="preserve">Question 2: Walmart sources of financing</t>
  </si>
  <si>
    <t xml:space="preserve">All figures in $ millions. Source: balance sheet provided with the Walmart case study.</t>
  </si>
  <si>
    <t xml:space="preserve">Line item</t>
  </si>
  <si>
    <t xml:space="preserve">Amount ($M)</t>
  </si>
  <si>
    <t xml:space="preserve">% of total financing</t>
  </si>
  <si>
    <t xml:space="preserve">Notes</t>
  </si>
  <si>
    <t xml:space="preserve">Short-term debt (current liabilities)</t>
  </si>
  <si>
    <t xml:space="preserve">Accounts payable</t>
  </si>
  <si>
    <t xml:space="preserve">Short-term borrowings</t>
  </si>
  <si>
    <t xml:space="preserve">Accrued liabilities</t>
  </si>
  <si>
    <t xml:space="preserve">Current portion of long-term debt and capital leases</t>
  </si>
  <si>
    <t xml:space="preserve">Other current liabilities</t>
  </si>
  <si>
    <t xml:space="preserve">Total current liabilities</t>
  </si>
  <si>
    <t xml:space="preserve">Long-term debt</t>
  </si>
  <si>
    <t xml:space="preserve">Long-term debt and capital leases</t>
  </si>
  <si>
    <t xml:space="preserve">Mostly bonds</t>
  </si>
  <si>
    <t xml:space="preserve">Deferred income taxes and other</t>
  </si>
  <si>
    <t xml:space="preserve">Total long-term liabilities</t>
  </si>
  <si>
    <t xml:space="preserve">Total debt (total liabilities)</t>
  </si>
  <si>
    <t xml:space="preserve">Current + long-term liabilities</t>
  </si>
  <si>
    <t xml:space="preserve">Equity financing</t>
  </si>
  <si>
    <t xml:space="preserve">Common stock and paid-in capital</t>
  </si>
  <si>
    <t xml:space="preserve">Retained earnings</t>
  </si>
  <si>
    <t xml:space="preserve">Accumulated other comprehensive income (loss)</t>
  </si>
  <si>
    <t xml:space="preserve">Total Walmart shareholders' equity</t>
  </si>
  <si>
    <t xml:space="preserve">Noncontrolling interest</t>
  </si>
  <si>
    <t xml:space="preserve">Total equity</t>
  </si>
  <si>
    <t xml:space="preserve">Shareholders' equity + noncontrolling interest</t>
  </si>
  <si>
    <t xml:space="preserve">Total financing (debt + equity)</t>
  </si>
  <si>
    <t xml:space="preserve">Total liabilities and equity per balance sheet</t>
  </si>
  <si>
    <t xml:space="preserve">Check: difference (should be zero)</t>
  </si>
  <si>
    <t xml:space="preserve">Question 3: Cost of long-term debt</t>
  </si>
  <si>
    <t xml:space="preserve">All figures in $ millions unless noted.</t>
  </si>
  <si>
    <t xml:space="preserve">Long-term liability</t>
  </si>
  <si>
    <t xml:space="preserve">% of long-term liabilities</t>
  </si>
  <si>
    <t xml:space="preserve">Used for cost of debt?</t>
  </si>
  <si>
    <t xml:space="preserve">Yes</t>
  </si>
  <si>
    <t xml:space="preserve">Mostly bonds, so the bond yield sets the cost</t>
  </si>
  <si>
    <t xml:space="preserve">No</t>
  </si>
  <si>
    <t xml:space="preserve">Not bonds; no market yield</t>
  </si>
  <si>
    <t xml:space="preserve">Cost of long-term debt</t>
  </si>
  <si>
    <t xml:space="preserve">Source</t>
  </si>
  <si>
    <t xml:space="preserve">Pre-tax cost of long-term debt (yield on Walmart's bonds)</t>
  </si>
  <si>
    <t xml:space="preserve">Walmart case study</t>
  </si>
  <si>
    <t xml:space="preserve">Question 4: Cost of equity (Capital Asset Pricing Model)</t>
  </si>
  <si>
    <t xml:space="preserve">Ke = Rf + β × MRP</t>
  </si>
  <si>
    <t xml:space="preserve">Input</t>
  </si>
  <si>
    <t xml:space="preserve">Beta, β (adjusted)</t>
  </si>
  <si>
    <t xml:space="preserve">Risk-free rate, Rf (current 10-year Treasury bond yield)</t>
  </si>
  <si>
    <t xml:space="preserve">S&amp;P 500 return, 2009–2018</t>
  </si>
  <si>
    <t xml:space="preserve">10-year government bond rate, 2009–2018</t>
  </si>
  <si>
    <t xml:space="preserve">Calculation</t>
  </si>
  <si>
    <t xml:space="preserve">Formula</t>
  </si>
  <si>
    <t xml:space="preserve">Market risk premium, MRP</t>
  </si>
  <si>
    <t xml:space="preserve">S&amp;P 500 return − 10-year government bond rate</t>
  </si>
  <si>
    <t xml:space="preserve">Cost of equity, Ke</t>
  </si>
  <si>
    <t xml:space="preserve">Rf + β × MRP</t>
  </si>
  <si>
    <t xml:space="preserve">MRP uses the last 10 years (2009–2018) because that period is the most accurate reflection of current market conditions.</t>
  </si>
  <si>
    <t xml:space="preserve">Question 5: Revised sources of financing and debt-to-equity ratio</t>
  </si>
  <si>
    <t xml:space="preserve">All figures in $ millions unless noted. Debt is total liabilities.</t>
  </si>
  <si>
    <t xml:space="preserve">Source of financing</t>
  </si>
  <si>
    <t xml:space="preserve">Cost</t>
  </si>
  <si>
    <t xml:space="preserve">Weight (% of total)</t>
  </si>
  <si>
    <t xml:space="preserve">Debt (total liabilities)</t>
  </si>
  <si>
    <t xml:space="preserve">Equity (total equity)</t>
  </si>
  <si>
    <t xml:space="preserve">Total</t>
  </si>
  <si>
    <t xml:space="preserve">Ratio</t>
  </si>
  <si>
    <t xml:space="preserve">Debt ÷ Equity</t>
  </si>
  <si>
    <t xml:space="preserve">Debt-to-equity ratio (as a percent)</t>
  </si>
  <si>
    <t xml:space="preserve">Questions 6 and 7: Weighted average cost of capital and MARR</t>
  </si>
  <si>
    <t xml:space="preserve">WACC = We × Ke + Wd × Kd × (1 − t)</t>
  </si>
  <si>
    <t xml:space="preserve">Weight of equity, We</t>
  </si>
  <si>
    <t xml:space="preserve">Question 5</t>
  </si>
  <si>
    <t xml:space="preserve">Question 4</t>
  </si>
  <si>
    <t xml:space="preserve">Weight of debt, Wd</t>
  </si>
  <si>
    <t xml:space="preserve">Pre-tax cost of debt, Kd</t>
  </si>
  <si>
    <t xml:space="preserve">Question 3</t>
  </si>
  <si>
    <t xml:space="preserve">Effective tax rate, t</t>
  </si>
  <si>
    <t xml:space="preserve">After-tax cost of debt</t>
  </si>
  <si>
    <t xml:space="preserve">Kd × (1 − t)</t>
  </si>
  <si>
    <t xml:space="preserve">Equity component</t>
  </si>
  <si>
    <t xml:space="preserve">We × Ke</t>
  </si>
  <si>
    <t xml:space="preserve">Debt component</t>
  </si>
  <si>
    <t xml:space="preserve">Wd × Kd × (1 − t)</t>
  </si>
  <si>
    <t xml:space="preserve">WACC</t>
  </si>
  <si>
    <t xml:space="preserve">Equity component + debt component</t>
  </si>
  <si>
    <t xml:space="preserve">Set equal to WACC, the cost of using capital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</si>
</sst>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0%;\(0.00%\);\-"/>
    <numFmt numFmtId="167" formatCode="0.0000%"/>
    <numFmt numFmtId="168" formatCode="0.00\x"/>
    <numFmt numFmtId="169" formatCode="0.00"/>
    <numFmt numFmtId="170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theme="1"/>
      <name val="Arial"/>
      <family val="2"/>
      <charset val="1"/>
    </font>
    <font>
      <b val="true"/>
      <i val="true"/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'Q2 Financing Sources'!B18</f>
        <v>139661</v>
      </c>
      <c r="C5" s="7" t="s">
        <v>7</v>
      </c>
      <c r="D5" s="8" t="s">
        <v>8</v>
      </c>
    </row>
    <row r="6" customFormat="false" ht="15" hidden="false" customHeight="false" outlineLevel="0" collapsed="false">
      <c r="A6" s="5" t="s">
        <v>9</v>
      </c>
      <c r="B6" s="6" t="n">
        <f aca="false">'Q2 Financing Sources'!B26</f>
        <v>79634</v>
      </c>
      <c r="C6" s="7" t="s">
        <v>7</v>
      </c>
      <c r="D6" s="8" t="s">
        <v>8</v>
      </c>
    </row>
    <row r="7" customFormat="false" ht="15" hidden="false" customHeight="false" outlineLevel="0" collapsed="false">
      <c r="A7" s="5" t="s">
        <v>10</v>
      </c>
      <c r="B7" s="6" t="n">
        <f aca="false">'Q2 Financing Sources'!B28</f>
        <v>219295</v>
      </c>
      <c r="C7" s="7" t="s">
        <v>7</v>
      </c>
      <c r="D7" s="8" t="s">
        <v>8</v>
      </c>
    </row>
    <row r="8" customFormat="false" ht="15" hidden="false" customHeight="false" outlineLevel="0" collapsed="false">
      <c r="A8" s="5" t="s">
        <v>11</v>
      </c>
      <c r="B8" s="9" t="n">
        <f aca="false">'Q3 Cost of Debt'!B10</f>
        <v>0.0353</v>
      </c>
      <c r="C8" s="7" t="s">
        <v>12</v>
      </c>
      <c r="D8" s="8" t="s">
        <v>13</v>
      </c>
    </row>
    <row r="9" customFormat="false" ht="15" hidden="false" customHeight="false" outlineLevel="0" collapsed="false">
      <c r="A9" s="5" t="s">
        <v>14</v>
      </c>
      <c r="B9" s="10" t="n">
        <f aca="false">'Q4 Cost of Equity'!B12</f>
        <v>0.106091</v>
      </c>
      <c r="C9" s="7" t="s">
        <v>15</v>
      </c>
      <c r="D9" s="8" t="s">
        <v>16</v>
      </c>
    </row>
    <row r="10" customFormat="false" ht="15" hidden="false" customHeight="false" outlineLevel="0" collapsed="false">
      <c r="A10" s="5" t="s">
        <v>17</v>
      </c>
      <c r="B10" s="9" t="n">
        <f aca="false">'Q5 Capital Structure'!D5</f>
        <v>0.636863585581067</v>
      </c>
      <c r="C10" s="7" t="s">
        <v>18</v>
      </c>
      <c r="D10" s="8" t="s">
        <v>19</v>
      </c>
    </row>
    <row r="11" customFormat="false" ht="15" hidden="false" customHeight="false" outlineLevel="0" collapsed="false">
      <c r="A11" s="5" t="s">
        <v>20</v>
      </c>
      <c r="B11" s="9" t="n">
        <f aca="false">'Q5 Capital Structure'!D6</f>
        <v>0.363136414418933</v>
      </c>
      <c r="C11" s="7" t="s">
        <v>18</v>
      </c>
      <c r="D11" s="8" t="s">
        <v>19</v>
      </c>
    </row>
    <row r="12" customFormat="false" ht="15" hidden="false" customHeight="false" outlineLevel="0" collapsed="false">
      <c r="A12" s="5" t="s">
        <v>21</v>
      </c>
      <c r="B12" s="11" t="n">
        <f aca="false">'Q5 Capital Structure'!B10</f>
        <v>1.75378607127609</v>
      </c>
      <c r="C12" s="7" t="s">
        <v>18</v>
      </c>
      <c r="D12" s="8" t="s">
        <v>19</v>
      </c>
    </row>
    <row r="13" customFormat="false" ht="15" hidden="false" customHeight="false" outlineLevel="0" collapsed="false">
      <c r="A13" s="12" t="s">
        <v>22</v>
      </c>
      <c r="B13" s="13" t="n">
        <f aca="false">'Q6-Q7 WACC &amp; MARR'!B15</f>
        <v>0.0549368430789576</v>
      </c>
      <c r="C13" s="7" t="s">
        <v>23</v>
      </c>
      <c r="D13" s="8" t="s">
        <v>24</v>
      </c>
    </row>
    <row r="14" customFormat="false" ht="15" hidden="false" customHeight="false" outlineLevel="0" collapsed="false">
      <c r="A14" s="12" t="s">
        <v>25</v>
      </c>
      <c r="B14" s="13" t="n">
        <f aca="false">'Q6-Q7 WACC &amp; MARR'!B17</f>
        <v>0.0549368430789576</v>
      </c>
      <c r="C14" s="7" t="s">
        <v>26</v>
      </c>
      <c r="D14" s="8" t="s">
        <v>24</v>
      </c>
    </row>
    <row r="17" customFormat="false" ht="15" hidden="false" customHeight="false" outlineLevel="0" collapsed="false">
      <c r="A17" s="12" t="s">
        <v>27</v>
      </c>
    </row>
    <row r="18" customFormat="false" ht="15" hidden="false" customHeight="false" outlineLevel="0" collapsed="false">
      <c r="A18" s="14" t="s">
        <v>28</v>
      </c>
    </row>
    <row r="19" customFormat="false" ht="15" hidden="false" customHeight="false" outlineLevel="0" collapsed="false">
      <c r="A19" s="5" t="s">
        <v>29</v>
      </c>
    </row>
    <row r="20" customFormat="false" ht="15" hidden="false" customHeight="false" outlineLevel="0" collapsed="false">
      <c r="A20" s="15" t="s">
        <v>30</v>
      </c>
    </row>
    <row r="21" customFormat="false" ht="15" hidden="false" customHeight="false" outlineLevel="0" collapsed="false">
      <c r="A21" s="1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3" t="s">
        <v>34</v>
      </c>
      <c r="B4" s="4" t="s">
        <v>35</v>
      </c>
      <c r="C4" s="4" t="s">
        <v>36</v>
      </c>
      <c r="D4" s="4" t="s">
        <v>37</v>
      </c>
    </row>
    <row r="5" customFormat="false" ht="15" hidden="false" customHeight="false" outlineLevel="0" collapsed="false">
      <c r="A5" s="17" t="s">
        <v>38</v>
      </c>
      <c r="B5" s="18"/>
      <c r="C5" s="18"/>
      <c r="D5" s="18"/>
    </row>
    <row r="6" customFormat="false" ht="15" hidden="false" customHeight="false" outlineLevel="0" collapsed="false">
      <c r="A6" s="5" t="s">
        <v>39</v>
      </c>
      <c r="B6" s="19" t="n">
        <v>47060</v>
      </c>
      <c r="C6" s="20" t="n">
        <f aca="false">B6/$B$28</f>
        <v>0.214596776032285</v>
      </c>
    </row>
    <row r="7" customFormat="false" ht="15" hidden="false" customHeight="false" outlineLevel="0" collapsed="false">
      <c r="A7" s="5" t="s">
        <v>40</v>
      </c>
      <c r="B7" s="19" t="n">
        <v>5225</v>
      </c>
      <c r="C7" s="20" t="n">
        <f aca="false">B7/$B$28</f>
        <v>0.0238263526300189</v>
      </c>
    </row>
    <row r="8" customFormat="false" ht="15" hidden="false" customHeight="false" outlineLevel="0" collapsed="false">
      <c r="A8" s="5" t="s">
        <v>41</v>
      </c>
      <c r="B8" s="19" t="n">
        <v>22159</v>
      </c>
      <c r="C8" s="20" t="n">
        <f aca="false">B8/$B$28</f>
        <v>0.101046535488725</v>
      </c>
    </row>
    <row r="9" customFormat="false" ht="15" hidden="false" customHeight="false" outlineLevel="0" collapsed="false">
      <c r="A9" s="5" t="s">
        <v>42</v>
      </c>
      <c r="B9" s="19" t="n">
        <v>2605</v>
      </c>
      <c r="C9" s="20" t="n">
        <f aca="false">B9/$B$28</f>
        <v>0.011878975808842</v>
      </c>
    </row>
    <row r="10" customFormat="false" ht="15" hidden="false" customHeight="false" outlineLevel="0" collapsed="false">
      <c r="A10" s="5" t="s">
        <v>43</v>
      </c>
      <c r="B10" s="19" t="n">
        <v>428</v>
      </c>
      <c r="C10" s="20" t="n">
        <f aca="false">B10/$B$28</f>
        <v>0.0019517088852915</v>
      </c>
    </row>
    <row r="11" customFormat="false" ht="15" hidden="false" customHeight="false" outlineLevel="0" collapsed="false">
      <c r="A11" s="21" t="s">
        <v>44</v>
      </c>
      <c r="B11" s="22" t="n">
        <f aca="false">SUM(B6:B10)</f>
        <v>77477</v>
      </c>
      <c r="C11" s="23" t="n">
        <f aca="false">B11/$B$28</f>
        <v>0.353300348845163</v>
      </c>
      <c r="D11" s="24"/>
    </row>
    <row r="13" customFormat="false" ht="15" hidden="false" customHeight="false" outlineLevel="0" collapsed="false">
      <c r="A13" s="17" t="s">
        <v>45</v>
      </c>
      <c r="B13" s="18"/>
      <c r="C13" s="18"/>
      <c r="D13" s="18"/>
    </row>
    <row r="14" customFormat="false" ht="15" hidden="false" customHeight="false" outlineLevel="0" collapsed="false">
      <c r="A14" s="5" t="s">
        <v>46</v>
      </c>
      <c r="B14" s="19" t="n">
        <v>50203</v>
      </c>
      <c r="C14" s="20" t="n">
        <f aca="false">B14/$B$28</f>
        <v>0.228929068150209</v>
      </c>
      <c r="D14" s="8" t="s">
        <v>47</v>
      </c>
    </row>
    <row r="15" customFormat="false" ht="15" hidden="false" customHeight="false" outlineLevel="0" collapsed="false">
      <c r="A15" s="5" t="s">
        <v>48</v>
      </c>
      <c r="B15" s="19" t="n">
        <v>11981</v>
      </c>
      <c r="C15" s="20" t="n">
        <f aca="false">B15/$B$28</f>
        <v>0.0546341685856951</v>
      </c>
    </row>
    <row r="16" customFormat="false" ht="15" hidden="false" customHeight="false" outlineLevel="0" collapsed="false">
      <c r="A16" s="21" t="s">
        <v>49</v>
      </c>
      <c r="B16" s="22" t="n">
        <f aca="false">SUM(B14:B15)</f>
        <v>62184</v>
      </c>
      <c r="C16" s="23" t="n">
        <f aca="false">B16/$B$28</f>
        <v>0.283563236735904</v>
      </c>
      <c r="D16" s="24"/>
    </row>
    <row r="18" customFormat="false" ht="15" hidden="false" customHeight="false" outlineLevel="0" collapsed="false">
      <c r="A18" s="21" t="s">
        <v>50</v>
      </c>
      <c r="B18" s="22" t="n">
        <f aca="false">B11+B16</f>
        <v>139661</v>
      </c>
      <c r="C18" s="23" t="n">
        <f aca="false">B18/$B$28</f>
        <v>0.636863585581067</v>
      </c>
      <c r="D18" s="25" t="s">
        <v>51</v>
      </c>
    </row>
    <row r="20" customFormat="false" ht="15" hidden="false" customHeight="false" outlineLevel="0" collapsed="false">
      <c r="A20" s="17" t="s">
        <v>52</v>
      </c>
      <c r="B20" s="18"/>
      <c r="C20" s="18"/>
      <c r="D20" s="18"/>
    </row>
    <row r="21" customFormat="false" ht="15" hidden="false" customHeight="false" outlineLevel="0" collapsed="false">
      <c r="A21" s="5" t="s">
        <v>53</v>
      </c>
      <c r="B21" s="19" t="n">
        <v>3253</v>
      </c>
      <c r="C21" s="20" t="n">
        <f aca="false">B21/$B$28</f>
        <v>0.0148338995417132</v>
      </c>
    </row>
    <row r="22" customFormat="false" ht="15" hidden="false" customHeight="false" outlineLevel="0" collapsed="false">
      <c r="A22" s="5" t="s">
        <v>54</v>
      </c>
      <c r="B22" s="19" t="n">
        <v>80785</v>
      </c>
      <c r="C22" s="20" t="n">
        <f aca="false">B22/$B$28</f>
        <v>0.368385052098771</v>
      </c>
    </row>
    <row r="23" customFormat="false" ht="15" hidden="false" customHeight="false" outlineLevel="0" collapsed="false">
      <c r="A23" s="5" t="s">
        <v>55</v>
      </c>
      <c r="B23" s="19" t="n">
        <v>-11542</v>
      </c>
      <c r="C23" s="20" t="n">
        <f aca="false">B23/$B$28</f>
        <v>-0.0526322989580246</v>
      </c>
    </row>
    <row r="24" customFormat="false" ht="15" hidden="false" customHeight="false" outlineLevel="0" collapsed="false">
      <c r="A24" s="21" t="s">
        <v>56</v>
      </c>
      <c r="B24" s="22" t="n">
        <f aca="false">SUM(B21:B23)</f>
        <v>72496</v>
      </c>
      <c r="C24" s="23" t="n">
        <f aca="false">B24/$B$28</f>
        <v>0.33058665268246</v>
      </c>
      <c r="D24" s="24"/>
    </row>
    <row r="25" customFormat="false" ht="15" hidden="false" customHeight="false" outlineLevel="0" collapsed="false">
      <c r="A25" s="5" t="s">
        <v>57</v>
      </c>
      <c r="B25" s="19" t="n">
        <v>7138</v>
      </c>
      <c r="C25" s="20" t="n">
        <f aca="false">B25/$B$28</f>
        <v>0.0325497617364737</v>
      </c>
    </row>
    <row r="26" customFormat="false" ht="15" hidden="false" customHeight="false" outlineLevel="0" collapsed="false">
      <c r="A26" s="21" t="s">
        <v>58</v>
      </c>
      <c r="B26" s="22" t="n">
        <f aca="false">B24+B25</f>
        <v>79634</v>
      </c>
      <c r="C26" s="23" t="n">
        <f aca="false">B26/$B$28</f>
        <v>0.363136414418933</v>
      </c>
      <c r="D26" s="25" t="s">
        <v>59</v>
      </c>
    </row>
    <row r="28" customFormat="false" ht="15" hidden="false" customHeight="false" outlineLevel="0" collapsed="false">
      <c r="A28" s="26" t="s">
        <v>60</v>
      </c>
      <c r="B28" s="27" t="n">
        <f aca="false">B18+B26</f>
        <v>219295</v>
      </c>
      <c r="C28" s="28" t="n">
        <f aca="false">B28/$B$28</f>
        <v>1</v>
      </c>
      <c r="D28" s="29"/>
    </row>
    <row r="30" customFormat="false" ht="15" hidden="false" customHeight="false" outlineLevel="0" collapsed="false">
      <c r="A30" s="5" t="s">
        <v>61</v>
      </c>
      <c r="B30" s="19" t="n">
        <v>219295</v>
      </c>
    </row>
    <row r="31" customFormat="false" ht="15" hidden="false" customHeight="false" outlineLevel="0" collapsed="false">
      <c r="A31" s="5" t="s">
        <v>62</v>
      </c>
      <c r="B31" s="30" t="n">
        <f aca="false">B28-B30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30" hidden="false" customHeight="true" outlineLevel="0" collapsed="false">
      <c r="A4" s="3" t="s">
        <v>65</v>
      </c>
      <c r="B4" s="4" t="s">
        <v>35</v>
      </c>
      <c r="C4" s="4" t="s">
        <v>66</v>
      </c>
      <c r="D4" s="4" t="s">
        <v>67</v>
      </c>
      <c r="E4" s="4" t="s">
        <v>37</v>
      </c>
    </row>
    <row r="5" customFormat="false" ht="15" hidden="false" customHeight="false" outlineLevel="0" collapsed="false">
      <c r="A5" s="5" t="s">
        <v>46</v>
      </c>
      <c r="B5" s="6" t="n">
        <f aca="false">'Q2 Financing Sources'!B14</f>
        <v>50203</v>
      </c>
      <c r="C5" s="20" t="n">
        <f aca="false">B5/$B$7</f>
        <v>0.807329859771002</v>
      </c>
      <c r="D5" s="7" t="s">
        <v>68</v>
      </c>
      <c r="E5" s="8" t="s">
        <v>69</v>
      </c>
    </row>
    <row r="6" customFormat="false" ht="15" hidden="false" customHeight="false" outlineLevel="0" collapsed="false">
      <c r="A6" s="5" t="s">
        <v>48</v>
      </c>
      <c r="B6" s="6" t="n">
        <f aca="false">'Q2 Financing Sources'!B15</f>
        <v>11981</v>
      </c>
      <c r="C6" s="20" t="n">
        <f aca="false">B6/$B$7</f>
        <v>0.192670140228998</v>
      </c>
      <c r="D6" s="7" t="s">
        <v>70</v>
      </c>
      <c r="E6" s="8" t="s">
        <v>71</v>
      </c>
    </row>
    <row r="7" customFormat="false" ht="15" hidden="false" customHeight="false" outlineLevel="0" collapsed="false">
      <c r="A7" s="21" t="s">
        <v>49</v>
      </c>
      <c r="B7" s="22" t="n">
        <f aca="false">SUM(B5:B6)</f>
        <v>62184</v>
      </c>
      <c r="C7" s="23" t="n">
        <f aca="false">B7/$B$7</f>
        <v>1</v>
      </c>
      <c r="D7" s="31"/>
      <c r="E7" s="24"/>
    </row>
    <row r="9" customFormat="false" ht="30" hidden="false" customHeight="true" outlineLevel="0" collapsed="false">
      <c r="A9" s="3" t="s">
        <v>72</v>
      </c>
      <c r="B9" s="4" t="s">
        <v>3</v>
      </c>
      <c r="C9" s="4"/>
      <c r="D9" s="4"/>
      <c r="E9" s="4" t="s">
        <v>73</v>
      </c>
    </row>
    <row r="10" customFormat="false" ht="15" hidden="false" customHeight="false" outlineLevel="0" collapsed="false">
      <c r="A10" s="12" t="s">
        <v>74</v>
      </c>
      <c r="B10" s="32" t="n">
        <v>0.0353</v>
      </c>
      <c r="E10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30" hidden="false" customHeight="true" outlineLevel="0" collapsed="false">
      <c r="A4" s="3" t="s">
        <v>78</v>
      </c>
      <c r="B4" s="4" t="s">
        <v>3</v>
      </c>
      <c r="C4" s="4" t="s">
        <v>73</v>
      </c>
    </row>
    <row r="5" customFormat="false" ht="15" hidden="false" customHeight="false" outlineLevel="0" collapsed="false">
      <c r="A5" s="5" t="s">
        <v>79</v>
      </c>
      <c r="B5" s="33" t="n">
        <v>0.71</v>
      </c>
      <c r="C5" s="8" t="s">
        <v>75</v>
      </c>
    </row>
    <row r="6" customFormat="false" ht="15" hidden="false" customHeight="false" outlineLevel="0" collapsed="false">
      <c r="A6" s="5" t="s">
        <v>80</v>
      </c>
      <c r="B6" s="34" t="n">
        <v>0.0265</v>
      </c>
      <c r="C6" s="8" t="s">
        <v>75</v>
      </c>
    </row>
    <row r="7" customFormat="false" ht="15" hidden="false" customHeight="false" outlineLevel="0" collapsed="false">
      <c r="A7" s="5" t="s">
        <v>81</v>
      </c>
      <c r="B7" s="34" t="n">
        <v>0.1349</v>
      </c>
      <c r="C7" s="8" t="s">
        <v>75</v>
      </c>
    </row>
    <row r="8" customFormat="false" ht="15" hidden="false" customHeight="false" outlineLevel="0" collapsed="false">
      <c r="A8" s="5" t="s">
        <v>82</v>
      </c>
      <c r="B8" s="34" t="n">
        <v>0.0228</v>
      </c>
      <c r="C8" s="8" t="s">
        <v>75</v>
      </c>
    </row>
    <row r="10" customFormat="false" ht="30" hidden="false" customHeight="true" outlineLevel="0" collapsed="false">
      <c r="A10" s="3" t="s">
        <v>83</v>
      </c>
      <c r="B10" s="4" t="s">
        <v>3</v>
      </c>
      <c r="C10" s="4" t="s">
        <v>84</v>
      </c>
    </row>
    <row r="11" customFormat="false" ht="15" hidden="false" customHeight="false" outlineLevel="0" collapsed="false">
      <c r="A11" s="5" t="s">
        <v>85</v>
      </c>
      <c r="B11" s="20" t="n">
        <f aca="false">B7-B8</f>
        <v>0.1121</v>
      </c>
      <c r="C11" s="8" t="s">
        <v>86</v>
      </c>
    </row>
    <row r="12" customFormat="false" ht="15" hidden="false" customHeight="false" outlineLevel="0" collapsed="false">
      <c r="A12" s="12" t="s">
        <v>87</v>
      </c>
      <c r="B12" s="35" t="n">
        <f aca="false">B6+B5*B11</f>
        <v>0.106091</v>
      </c>
      <c r="C12" s="8" t="s">
        <v>88</v>
      </c>
    </row>
    <row r="14" customFormat="false" ht="27.75" hidden="false" customHeight="true" outlineLevel="0" collapsed="false">
      <c r="A14" s="36" t="s">
        <v>89</v>
      </c>
      <c r="B14" s="36"/>
      <c r="C14" s="36"/>
    </row>
  </sheetData>
  <mergeCells count="1"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3" t="s">
        <v>92</v>
      </c>
      <c r="B4" s="4" t="s">
        <v>35</v>
      </c>
      <c r="C4" s="4" t="s">
        <v>93</v>
      </c>
      <c r="D4" s="4" t="s">
        <v>94</v>
      </c>
    </row>
    <row r="5" customFormat="false" ht="15" hidden="false" customHeight="false" outlineLevel="0" collapsed="false">
      <c r="A5" s="5" t="s">
        <v>95</v>
      </c>
      <c r="B5" s="6" t="n">
        <f aca="false">'Q2 Financing Sources'!B18</f>
        <v>139661</v>
      </c>
      <c r="C5" s="9" t="n">
        <f aca="false">'Q3 Cost of Debt'!B10</f>
        <v>0.0353</v>
      </c>
      <c r="D5" s="20" t="n">
        <f aca="false">B5/$B$7</f>
        <v>0.636863585581067</v>
      </c>
    </row>
    <row r="6" customFormat="false" ht="15" hidden="false" customHeight="false" outlineLevel="0" collapsed="false">
      <c r="A6" s="5" t="s">
        <v>96</v>
      </c>
      <c r="B6" s="6" t="n">
        <f aca="false">'Q2 Financing Sources'!B26</f>
        <v>79634</v>
      </c>
      <c r="C6" s="10" t="n">
        <f aca="false">'Q4 Cost of Equity'!B12</f>
        <v>0.106091</v>
      </c>
      <c r="D6" s="20" t="n">
        <f aca="false">B6/$B$7</f>
        <v>0.363136414418933</v>
      </c>
    </row>
    <row r="7" customFormat="false" ht="15" hidden="false" customHeight="false" outlineLevel="0" collapsed="false">
      <c r="A7" s="26" t="s">
        <v>97</v>
      </c>
      <c r="B7" s="27" t="n">
        <f aca="false">B5+B6</f>
        <v>219295</v>
      </c>
      <c r="C7" s="29"/>
      <c r="D7" s="28" t="n">
        <f aca="false">D5+D6</f>
        <v>1</v>
      </c>
    </row>
    <row r="9" customFormat="false" ht="30" hidden="false" customHeight="true" outlineLevel="0" collapsed="false">
      <c r="A9" s="3" t="s">
        <v>98</v>
      </c>
      <c r="B9" s="4" t="s">
        <v>3</v>
      </c>
      <c r="C9" s="4" t="s">
        <v>84</v>
      </c>
      <c r="D9" s="4"/>
    </row>
    <row r="10" customFormat="false" ht="15" hidden="false" customHeight="false" outlineLevel="0" collapsed="false">
      <c r="A10" s="12" t="s">
        <v>21</v>
      </c>
      <c r="B10" s="37" t="n">
        <f aca="false">B5/B6</f>
        <v>1.75378607127609</v>
      </c>
      <c r="C10" s="8" t="s">
        <v>99</v>
      </c>
    </row>
    <row r="11" customFormat="false" ht="15" hidden="false" customHeight="false" outlineLevel="0" collapsed="false">
      <c r="A11" s="5" t="s">
        <v>100</v>
      </c>
      <c r="B11" s="38" t="n">
        <f aca="false">B10</f>
        <v>1.75378607127609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0" hidden="false" customHeight="true" outlineLevel="0" collapsed="false">
      <c r="A4" s="3" t="s">
        <v>78</v>
      </c>
      <c r="B4" s="4" t="s">
        <v>3</v>
      </c>
      <c r="C4" s="4" t="s">
        <v>73</v>
      </c>
    </row>
    <row r="5" customFormat="false" ht="15" hidden="false" customHeight="false" outlineLevel="0" collapsed="false">
      <c r="A5" s="5" t="s">
        <v>103</v>
      </c>
      <c r="B5" s="9" t="n">
        <f aca="false">'Q5 Capital Structure'!D6</f>
        <v>0.363136414418933</v>
      </c>
      <c r="C5" s="8" t="s">
        <v>104</v>
      </c>
    </row>
    <row r="6" customFormat="false" ht="15" hidden="false" customHeight="false" outlineLevel="0" collapsed="false">
      <c r="A6" s="5" t="s">
        <v>87</v>
      </c>
      <c r="B6" s="10" t="n">
        <f aca="false">'Q4 Cost of Equity'!B12</f>
        <v>0.106091</v>
      </c>
      <c r="C6" s="8" t="s">
        <v>105</v>
      </c>
    </row>
    <row r="7" customFormat="false" ht="15" hidden="false" customHeight="false" outlineLevel="0" collapsed="false">
      <c r="A7" s="5" t="s">
        <v>106</v>
      </c>
      <c r="B7" s="9" t="n">
        <f aca="false">'Q5 Capital Structure'!D5</f>
        <v>0.636863585581067</v>
      </c>
      <c r="C7" s="8" t="s">
        <v>104</v>
      </c>
    </row>
    <row r="8" customFormat="false" ht="15" hidden="false" customHeight="false" outlineLevel="0" collapsed="false">
      <c r="A8" s="5" t="s">
        <v>107</v>
      </c>
      <c r="B8" s="9" t="n">
        <f aca="false">'Q3 Cost of Debt'!B10</f>
        <v>0.0353</v>
      </c>
      <c r="C8" s="8" t="s">
        <v>108</v>
      </c>
    </row>
    <row r="9" customFormat="false" ht="15" hidden="false" customHeight="false" outlineLevel="0" collapsed="false">
      <c r="A9" s="5" t="s">
        <v>109</v>
      </c>
      <c r="B9" s="34" t="n">
        <v>0.27</v>
      </c>
      <c r="C9" s="8" t="s">
        <v>75</v>
      </c>
    </row>
    <row r="11" customFormat="false" ht="30" hidden="false" customHeight="true" outlineLevel="0" collapsed="false">
      <c r="A11" s="3" t="s">
        <v>83</v>
      </c>
      <c r="B11" s="4" t="s">
        <v>3</v>
      </c>
      <c r="C11" s="4" t="s">
        <v>84</v>
      </c>
    </row>
    <row r="12" customFormat="false" ht="15" hidden="false" customHeight="false" outlineLevel="0" collapsed="false">
      <c r="A12" s="5" t="s">
        <v>110</v>
      </c>
      <c r="B12" s="20" t="n">
        <f aca="false">B8*(1-B9)</f>
        <v>0.025769</v>
      </c>
      <c r="C12" s="8" t="s">
        <v>111</v>
      </c>
    </row>
    <row r="13" customFormat="false" ht="15" hidden="false" customHeight="false" outlineLevel="0" collapsed="false">
      <c r="A13" s="5" t="s">
        <v>112</v>
      </c>
      <c r="B13" s="20" t="n">
        <f aca="false">B5*B6</f>
        <v>0.0385255053421191</v>
      </c>
      <c r="C13" s="8" t="s">
        <v>113</v>
      </c>
    </row>
    <row r="14" customFormat="false" ht="15" hidden="false" customHeight="false" outlineLevel="0" collapsed="false">
      <c r="A14" s="5" t="s">
        <v>114</v>
      </c>
      <c r="B14" s="20" t="n">
        <f aca="false">B7*B12</f>
        <v>0.0164113377368385</v>
      </c>
      <c r="C14" s="8" t="s">
        <v>115</v>
      </c>
    </row>
    <row r="15" customFormat="false" ht="15" hidden="false" customHeight="false" outlineLevel="0" collapsed="false">
      <c r="A15" s="26" t="s">
        <v>116</v>
      </c>
      <c r="B15" s="39" t="n">
        <f aca="false">B13+B14</f>
        <v>0.0549368430789576</v>
      </c>
      <c r="C15" s="40" t="s">
        <v>117</v>
      </c>
    </row>
    <row r="17" customFormat="false" ht="15" hidden="false" customHeight="false" outlineLevel="0" collapsed="false">
      <c r="A17" s="12" t="s">
        <v>25</v>
      </c>
      <c r="B17" s="41" t="n">
        <f aca="false">B15</f>
        <v>0.0549368430789576</v>
      </c>
      <c r="C17" s="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2026-10-21T09:17:11Z</dcterms:created>
  <dc:creator>openpyxl</dc:creator>
  <dc:description/>
  <dc:language>en-US</dc:language>
  <cp:lastModifiedBy/>
  <dcterms:modified xsi:type="dcterms:W3CDTF">2026-10-21T09:17:11Z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